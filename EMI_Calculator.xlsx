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<sst xmlns="http://schemas.openxmlformats.org/spreadsheetml/2006/main" count="11" uniqueCount="11">
  <si>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EMI CALCULATION</t>
  </si>
  <si>
    <t xml:space="preserve">MONTHS</t>
  </si>
  <si>
    <t xml:space="preserve">PPMT</t>
  </si>
  <si>
    <t xml:space="preserve">IPMT</t>
  </si>
  <si>
    <t xml:space="preserve">RATE</t>
  </si>
  <si>
    <t xml:space="preserve">LOAN AMOUNT</t>
  </si>
  <si>
    <t xml:space="preserve">PERIOD (M)</t>
  </si>
  <si>
    <t xml:space="preserve">PMT/EMI</t>
  </si>
  <si>
    <t xml:space="preserve">TOTAL PAY</t>
  </si>
  <si>
    <t xml:space="preserve">INTEREST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</si>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</sst>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[$₹]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haron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D1" s="2" t="s">
        <v>1</v>
      </c>
      <c r="E1" s="2" t="s">
        <v>2</v>
      </c>
      <c r="F1" s="2" t="s">
        <v>3</v>
      </c>
    </row>
    <row r="2" customFormat="false" ht="15.75" hidden="false" customHeight="false" outlineLevel="0" collapsed="false">
      <c r="A2" s="3" t="s">
        <v>4</v>
      </c>
      <c r="B2" s="4" t="n">
        <v>0.12</v>
      </c>
      <c r="D2" s="5" t="n">
        <v>1</v>
      </c>
      <c r="E2" s="6" t="n">
        <f aca="false">PPMT($B$2/12,D2,$B$4,-$B$3)</f>
        <v>6122.22384245089</v>
      </c>
      <c r="F2" s="6" t="n">
        <f aca="false">IPMT($B$2/12,D2,$B$4,-$B$3)</f>
        <v>5000</v>
      </c>
    </row>
    <row r="3" customFormat="false" ht="15.75" hidden="false" customHeight="false" outlineLevel="0" collapsed="false">
      <c r="A3" s="3" t="s">
        <v>5</v>
      </c>
      <c r="B3" s="5" t="n">
        <v>500000</v>
      </c>
      <c r="D3" s="5" t="n">
        <v>2</v>
      </c>
      <c r="E3" s="6" t="n">
        <f aca="false">PPMT($B$2/12,D3,$B$4,-$B$3)</f>
        <v>6183.4460808754</v>
      </c>
      <c r="F3" s="6" t="n">
        <f aca="false">IPMT($B$2/12,D3,$B$4,-$B$3)</f>
        <v>4938.77776157549</v>
      </c>
    </row>
    <row r="4" customFormat="false" ht="15.75" hidden="false" customHeight="false" outlineLevel="0" collapsed="false">
      <c r="A4" s="3" t="s">
        <v>6</v>
      </c>
      <c r="B4" s="5" t="n">
        <v>60</v>
      </c>
      <c r="D4" s="5" t="n">
        <v>3</v>
      </c>
      <c r="E4" s="6" t="n">
        <f aca="false">PPMT($B$2/12,D4,$B$4,-$B$3)</f>
        <v>6245.28054168415</v>
      </c>
      <c r="F4" s="6" t="n">
        <f aca="false">IPMT($B$2/12,D4,$B$4,-$B$3)</f>
        <v>4876.94330076674</v>
      </c>
    </row>
    <row r="5" customFormat="false" ht="15.75" hidden="false" customHeight="false" outlineLevel="0" collapsed="false">
      <c r="D5" s="5" t="n">
        <v>4</v>
      </c>
      <c r="E5" s="6" t="n">
        <f aca="false">PPMT($B$2/12,D5,$B$4,-$B$3)</f>
        <v>6307.73334710099</v>
      </c>
      <c r="F5" s="6" t="n">
        <f aca="false">IPMT($B$2/12,D5,$B$4,-$B$3)</f>
        <v>4814.49049534989</v>
      </c>
    </row>
    <row r="6" customFormat="false" ht="15.75" hidden="false" customHeight="false" outlineLevel="0" collapsed="false">
      <c r="A6" s="7" t="s">
        <v>7</v>
      </c>
      <c r="B6" s="8" t="n">
        <f aca="false">PMT(B2/12,B4,-B3)</f>
        <v>11122.2238424509</v>
      </c>
      <c r="D6" s="5" t="n">
        <v>5</v>
      </c>
      <c r="E6" s="6" t="n">
        <f aca="false">PPMT($B$2/12,D6,$B$4,-$B$3)</f>
        <v>6370.810680572</v>
      </c>
      <c r="F6" s="6" t="n">
        <f aca="false">IPMT($B$2/12,D6,$B$4,-$B$3)</f>
        <v>4751.41316187889</v>
      </c>
    </row>
    <row r="7" customFormat="false" ht="15.75" hidden="false" customHeight="false" outlineLevel="0" collapsed="false">
      <c r="A7" s="9"/>
      <c r="B7" s="9"/>
      <c r="D7" s="5" t="n">
        <v>6</v>
      </c>
      <c r="E7" s="6" t="n">
        <f aca="false">PPMT($B$2/12,D7,$B$4,-$B$3)</f>
        <v>6434.51878737772</v>
      </c>
      <c r="F7" s="6" t="n">
        <f aca="false">IPMT($B$2/12,D7,$B$4,-$B$3)</f>
        <v>4687.70505507317</v>
      </c>
    </row>
    <row r="8" customFormat="false" ht="15.75" hidden="false" customHeight="false" outlineLevel="0" collapsed="false">
      <c r="A8" s="9" t="s">
        <v>8</v>
      </c>
      <c r="B8" s="10" t="n">
        <f aca="false">B6*B4</f>
        <v>667333.430547053</v>
      </c>
      <c r="D8" s="5" t="n">
        <v>7</v>
      </c>
      <c r="E8" s="6" t="n">
        <f aca="false">PPMT($B$2/12,D8,$B$4,-$B$3)</f>
        <v>6498.8639752515</v>
      </c>
      <c r="F8" s="6" t="n">
        <f aca="false">IPMT($B$2/12,D8,$B$4,-$B$3)</f>
        <v>4623.35986719939</v>
      </c>
    </row>
    <row r="9" customFormat="false" ht="15.75" hidden="false" customHeight="false" outlineLevel="0" collapsed="false">
      <c r="A9" s="9"/>
      <c r="B9" s="9"/>
      <c r="D9" s="5" t="n">
        <v>8</v>
      </c>
      <c r="E9" s="6" t="n">
        <f aca="false">PPMT($B$2/12,D9,$B$4,-$B$3)</f>
        <v>6563.85261500402</v>
      </c>
      <c r="F9" s="6" t="n">
        <f aca="false">IPMT($B$2/12,D9,$B$4,-$B$3)</f>
        <v>4558.37122744687</v>
      </c>
    </row>
    <row r="10" customFormat="false" ht="15.75" hidden="false" customHeight="false" outlineLevel="0" collapsed="false">
      <c r="A10" s="9" t="s">
        <v>9</v>
      </c>
      <c r="B10" s="10" t="n">
        <f aca="false">B8-B3</f>
        <v>167333.430547053</v>
      </c>
      <c r="D10" s="5" t="n">
        <v>9</v>
      </c>
      <c r="E10" s="6" t="n">
        <f aca="false">PPMT($B$2/12,D10,$B$4,-$B$3)</f>
        <v>6629.49114115406</v>
      </c>
      <c r="F10" s="6" t="n">
        <f aca="false">IPMT($B$2/12,D10,$B$4,-$B$3)</f>
        <v>4492.73270129683</v>
      </c>
    </row>
    <row r="11" customFormat="false" ht="15.75" hidden="false" customHeight="false" outlineLevel="0" collapsed="false">
      <c r="D11" s="5" t="n">
        <v>10</v>
      </c>
      <c r="E11" s="6" t="n">
        <f aca="false">PPMT($B$2/12,D11,$B$4,-$B$3)</f>
        <v>6695.7860525656</v>
      </c>
      <c r="F11" s="6" t="n">
        <f aca="false">IPMT($B$2/12,D11,$B$4,-$B$3)</f>
        <v>4426.43778988529</v>
      </c>
    </row>
    <row r="12" customFormat="false" ht="15.75" hidden="false" customHeight="false" outlineLevel="0" collapsed="false">
      <c r="D12" s="5" t="n">
        <v>11</v>
      </c>
      <c r="E12" s="6" t="n">
        <f aca="false">PPMT($B$2/12,D12,$B$4,-$B$3)</f>
        <v>6762.74391309125</v>
      </c>
      <c r="F12" s="6" t="n">
        <f aca="false">IPMT($B$2/12,D12,$B$4,-$B$3)</f>
        <v>4359.47992935964</v>
      </c>
    </row>
    <row r="13" customFormat="false" ht="15.75" hidden="false" customHeight="false" outlineLevel="0" collapsed="false">
      <c r="D13" s="5" t="n">
        <v>12</v>
      </c>
      <c r="E13" s="6" t="n">
        <f aca="false">PPMT($B$2/12,D13,$B$4,-$B$3)</f>
        <v>6830.37135222216</v>
      </c>
      <c r="F13" s="6" t="n">
        <f aca="false">IPMT($B$2/12,D13,$B$4,-$B$3)</f>
        <v>4291.85249022872</v>
      </c>
    </row>
    <row r="14" customFormat="false" ht="15.75" hidden="false" customHeight="false" outlineLevel="0" collapsed="false">
      <c r="D14" s="5" t="n">
        <v>13</v>
      </c>
      <c r="E14" s="6" t="n">
        <f aca="false">PPMT($B$2/12,D14,$B$4,-$B$3)</f>
        <v>6898.67506574439</v>
      </c>
      <c r="F14" s="6" t="n">
        <f aca="false">IPMT($B$2/12,D14,$B$4,-$B$3)</f>
        <v>4223.5487767065</v>
      </c>
    </row>
    <row r="15" customFormat="false" ht="15.75" hidden="false" customHeight="false" outlineLevel="0" collapsed="false">
      <c r="D15" s="5" t="n">
        <v>14</v>
      </c>
      <c r="E15" s="6" t="n">
        <f aca="false">PPMT($B$2/12,D15,$B$4,-$B$3)</f>
        <v>6967.66181640183</v>
      </c>
      <c r="F15" s="6" t="n">
        <f aca="false">IPMT($B$2/12,D15,$B$4,-$B$3)</f>
        <v>4154.56202604906</v>
      </c>
    </row>
    <row r="16" customFormat="false" ht="15.75" hidden="false" customHeight="false" outlineLevel="0" collapsed="false">
      <c r="D16" s="5" t="n">
        <v>15</v>
      </c>
      <c r="E16" s="6" t="n">
        <f aca="false">PPMT($B$2/12,D16,$B$4,-$B$3)</f>
        <v>7037.33843456585</v>
      </c>
      <c r="F16" s="6" t="n">
        <f aca="false">IPMT($B$2/12,D16,$B$4,-$B$3)</f>
        <v>4084.88540788504</v>
      </c>
    </row>
    <row r="17" customFormat="false" ht="15.75" hidden="false" customHeight="false" outlineLevel="0" collapsed="false">
      <c r="D17" s="5" t="n">
        <v>16</v>
      </c>
      <c r="E17" s="6" t="n">
        <f aca="false">PPMT($B$2/12,D17,$B$4,-$B$3)</f>
        <v>7107.71181891151</v>
      </c>
      <c r="F17" s="6" t="n">
        <f aca="false">IPMT($B$2/12,D17,$B$4,-$B$3)</f>
        <v>4014.51202353938</v>
      </c>
    </row>
    <row r="18" customFormat="false" ht="15.75" hidden="false" customHeight="false" outlineLevel="0" collapsed="false">
      <c r="D18" s="5" t="n">
        <v>17</v>
      </c>
      <c r="E18" s="6" t="n">
        <f aca="false">PPMT($B$2/12,D18,$B$4,-$B$3)</f>
        <v>7178.78893710062</v>
      </c>
      <c r="F18" s="6" t="n">
        <f aca="false">IPMT($B$2/12,D18,$B$4,-$B$3)</f>
        <v>3943.43490535027</v>
      </c>
    </row>
    <row r="19" customFormat="false" ht="15.75" hidden="false" customHeight="false" outlineLevel="0" collapsed="false">
      <c r="D19" s="5" t="n">
        <v>18</v>
      </c>
      <c r="E19" s="6" t="n">
        <f aca="false">PPMT($B$2/12,D19,$B$4,-$B$3)</f>
        <v>7250.57682647163</v>
      </c>
      <c r="F19" s="6" t="n">
        <f aca="false">IPMT($B$2/12,D19,$B$4,-$B$3)</f>
        <v>3871.64701597926</v>
      </c>
    </row>
    <row r="20" customFormat="false" ht="15.75" hidden="false" customHeight="false" outlineLevel="0" collapsed="false">
      <c r="D20" s="5" t="n">
        <v>19</v>
      </c>
      <c r="E20" s="6" t="n">
        <f aca="false">PPMT($B$2/12,D20,$B$4,-$B$3)</f>
        <v>7323.08259473635</v>
      </c>
      <c r="F20" s="6" t="n">
        <f aca="false">IPMT($B$2/12,D20,$B$4,-$B$3)</f>
        <v>3799.14124771454</v>
      </c>
    </row>
    <row r="21" customFormat="false" ht="15.75" hidden="false" customHeight="false" outlineLevel="0" collapsed="false">
      <c r="D21" s="5" t="n">
        <v>20</v>
      </c>
      <c r="E21" s="6" t="n">
        <f aca="false">PPMT($B$2/12,D21,$B$4,-$B$3)</f>
        <v>7396.31342068371</v>
      </c>
      <c r="F21" s="6" t="n">
        <f aca="false">IPMT($B$2/12,D21,$B$4,-$B$3)</f>
        <v>3725.91042176718</v>
      </c>
    </row>
    <row r="22" customFormat="false" ht="15.75" hidden="false" customHeight="false" outlineLevel="0" collapsed="false">
      <c r="D22" s="5" t="n">
        <v>21</v>
      </c>
      <c r="E22" s="6" t="n">
        <f aca="false">PPMT($B$2/12,D22,$B$4,-$B$3)</f>
        <v>7470.27655489055</v>
      </c>
      <c r="F22" s="6" t="n">
        <f aca="false">IPMT($B$2/12,D22,$B$4,-$B$3)</f>
        <v>3651.94728756034</v>
      </c>
    </row>
    <row r="23" customFormat="false" ht="15.75" hidden="false" customHeight="false" outlineLevel="0" collapsed="false">
      <c r="D23" s="5" t="n">
        <v>22</v>
      </c>
      <c r="E23" s="6" t="n">
        <f aca="false">PPMT($B$2/12,D23,$B$4,-$B$3)</f>
        <v>7544.97932043945</v>
      </c>
      <c r="F23" s="6" t="n">
        <f aca="false">IPMT($B$2/12,D23,$B$4,-$B$3)</f>
        <v>3577.24452201144</v>
      </c>
    </row>
    <row r="24" customFormat="false" ht="15.75" hidden="false" customHeight="false" outlineLevel="0" collapsed="false">
      <c r="D24" s="5" t="n">
        <v>23</v>
      </c>
      <c r="E24" s="6" t="n">
        <f aca="false">PPMT($B$2/12,D24,$B$4,-$B$3)</f>
        <v>7620.42911364385</v>
      </c>
      <c r="F24" s="6" t="n">
        <f aca="false">IPMT($B$2/12,D24,$B$4,-$B$3)</f>
        <v>3501.79472880704</v>
      </c>
    </row>
    <row r="25" customFormat="false" ht="15.75" hidden="false" customHeight="false" outlineLevel="0" collapsed="false">
      <c r="D25" s="5" t="n">
        <v>24</v>
      </c>
      <c r="E25" s="6" t="n">
        <f aca="false">PPMT($B$2/12,D25,$B$4,-$B$3)</f>
        <v>7696.63340478028</v>
      </c>
      <c r="F25" s="6" t="n">
        <f aca="false">IPMT($B$2/12,D25,$B$4,-$B$3)</f>
        <v>3425.59043767061</v>
      </c>
    </row>
    <row r="26" customFormat="false" ht="15.75" hidden="false" customHeight="false" outlineLevel="0" collapsed="false">
      <c r="D26" s="5" t="n">
        <v>25</v>
      </c>
      <c r="E26" s="6" t="n">
        <f aca="false">PPMT($B$2/12,D26,$B$4,-$B$3)</f>
        <v>7773.59973882809</v>
      </c>
      <c r="F26" s="6" t="n">
        <f aca="false">IPMT($B$2/12,D26,$B$4,-$B$3)</f>
        <v>3348.6241036228</v>
      </c>
    </row>
    <row r="27" customFormat="false" ht="15.75" hidden="false" customHeight="false" outlineLevel="0" collapsed="false">
      <c r="D27" s="5" t="n">
        <v>26</v>
      </c>
      <c r="E27" s="6" t="n">
        <f aca="false">PPMT($B$2/12,D27,$B$4,-$B$3)</f>
        <v>7851.33573621637</v>
      </c>
      <c r="F27" s="6" t="n">
        <f aca="false">IPMT($B$2/12,D27,$B$4,-$B$3)</f>
        <v>3270.88810623452</v>
      </c>
    </row>
    <row r="28" customFormat="false" ht="15.75" hidden="false" customHeight="false" outlineLevel="0" collapsed="false">
      <c r="D28" s="5" t="n">
        <v>27</v>
      </c>
      <c r="E28" s="6" t="n">
        <f aca="false">PPMT($B$2/12,D28,$B$4,-$B$3)</f>
        <v>7929.84909357853</v>
      </c>
      <c r="F28" s="6" t="n">
        <f aca="false">IPMT($B$2/12,D28,$B$4,-$B$3)</f>
        <v>3192.37474887236</v>
      </c>
    </row>
    <row r="29" customFormat="false" ht="15.75" hidden="false" customHeight="false" outlineLevel="0" collapsed="false">
      <c r="D29" s="5" t="n">
        <v>28</v>
      </c>
      <c r="E29" s="6" t="n">
        <f aca="false">PPMT($B$2/12,D29,$B$4,-$B$3)</f>
        <v>8009.14758451432</v>
      </c>
      <c r="F29" s="6" t="n">
        <f aca="false">IPMT($B$2/12,D29,$B$4,-$B$3)</f>
        <v>3113.07625793657</v>
      </c>
    </row>
    <row r="30" customFormat="false" ht="15.75" hidden="false" customHeight="false" outlineLevel="0" collapsed="false">
      <c r="D30" s="5" t="n">
        <v>29</v>
      </c>
      <c r="E30" s="6" t="n">
        <f aca="false">PPMT($B$2/12,D30,$B$4,-$B$3)</f>
        <v>8089.23906035946</v>
      </c>
      <c r="F30" s="6" t="n">
        <f aca="false">IPMT($B$2/12,D30,$B$4,-$B$3)</f>
        <v>3032.98478209143</v>
      </c>
    </row>
    <row r="31" customFormat="false" ht="15.75" hidden="false" customHeight="false" outlineLevel="0" collapsed="false">
      <c r="D31" s="5" t="n">
        <v>30</v>
      </c>
      <c r="E31" s="6" t="n">
        <f aca="false">PPMT($B$2/12,D31,$B$4,-$B$3)</f>
        <v>8170.13145096306</v>
      </c>
      <c r="F31" s="6" t="n">
        <f aca="false">IPMT($B$2/12,D31,$B$4,-$B$3)</f>
        <v>2952.09239148783</v>
      </c>
    </row>
    <row r="32" customFormat="false" ht="15.75" hidden="false" customHeight="false" outlineLevel="0" collapsed="false">
      <c r="D32" s="5" t="n">
        <v>31</v>
      </c>
      <c r="E32" s="6" t="n">
        <f aca="false">PPMT($B$2/12,D32,$B$4,-$B$3)</f>
        <v>8251.83276547269</v>
      </c>
      <c r="F32" s="6" t="n">
        <f aca="false">IPMT($B$2/12,D32,$B$4,-$B$3)</f>
        <v>2870.3910769782</v>
      </c>
    </row>
    <row r="33" customFormat="false" ht="15.75" hidden="false" customHeight="false" outlineLevel="0" collapsed="false">
      <c r="D33" s="5" t="n">
        <v>32</v>
      </c>
      <c r="E33" s="6" t="n">
        <f aca="false">PPMT($B$2/12,D33,$B$4,-$B$3)</f>
        <v>8334.35109312741</v>
      </c>
      <c r="F33" s="6" t="n">
        <f aca="false">IPMT($B$2/12,D33,$B$4,-$B$3)</f>
        <v>2787.87274932348</v>
      </c>
    </row>
    <row r="34" customFormat="false" ht="15.75" hidden="false" customHeight="false" outlineLevel="0" collapsed="false">
      <c r="D34" s="5" t="n">
        <v>33</v>
      </c>
      <c r="E34" s="6" t="n">
        <f aca="false">PPMT($B$2/12,D34,$B$4,-$B$3)</f>
        <v>8417.69460405869</v>
      </c>
      <c r="F34" s="6" t="n">
        <f aca="false">IPMT($B$2/12,D34,$B$4,-$B$3)</f>
        <v>2704.5292383922</v>
      </c>
    </row>
    <row r="35" customFormat="false" ht="15.75" hidden="false" customHeight="false" outlineLevel="0" collapsed="false">
      <c r="D35" s="5" t="n">
        <v>34</v>
      </c>
      <c r="E35" s="6" t="n">
        <f aca="false">PPMT($B$2/12,D35,$B$4,-$B$3)</f>
        <v>8501.87155009928</v>
      </c>
      <c r="F35" s="6" t="n">
        <f aca="false">IPMT($B$2/12,D35,$B$4,-$B$3)</f>
        <v>2620.35229235161</v>
      </c>
    </row>
    <row r="36" customFormat="false" ht="15.75" hidden="false" customHeight="false" outlineLevel="0" collapsed="false">
      <c r="D36" s="5" t="n">
        <v>35</v>
      </c>
      <c r="E36" s="6" t="n">
        <f aca="false">PPMT($B$2/12,D36,$B$4,-$B$3)</f>
        <v>8586.89026560027</v>
      </c>
      <c r="F36" s="6" t="n">
        <f aca="false">IPMT($B$2/12,D36,$B$4,-$B$3)</f>
        <v>2535.33357685062</v>
      </c>
    </row>
    <row r="37" customFormat="false" ht="15.75" hidden="false" customHeight="false" outlineLevel="0" collapsed="false">
      <c r="D37" s="5" t="n">
        <v>36</v>
      </c>
      <c r="E37" s="6" t="n">
        <f aca="false">PPMT($B$2/12,D37,$B$4,-$B$3)</f>
        <v>8672.75916825627</v>
      </c>
      <c r="F37" s="6" t="n">
        <f aca="false">IPMT($B$2/12,D37,$B$4,-$B$3)</f>
        <v>2449.46467419462</v>
      </c>
    </row>
    <row r="38" customFormat="false" ht="15.75" hidden="false" customHeight="false" outlineLevel="0" collapsed="false">
      <c r="D38" s="5" t="n">
        <v>37</v>
      </c>
      <c r="E38" s="6" t="n">
        <f aca="false">PPMT($B$2/12,D38,$B$4,-$B$3)</f>
        <v>8759.48675993883</v>
      </c>
      <c r="F38" s="6" t="n">
        <f aca="false">IPMT($B$2/12,D38,$B$4,-$B$3)</f>
        <v>2362.73708251206</v>
      </c>
    </row>
    <row r="39" customFormat="false" ht="15.75" hidden="false" customHeight="false" outlineLevel="0" collapsed="false">
      <c r="D39" s="5" t="n">
        <v>38</v>
      </c>
      <c r="E39" s="6" t="n">
        <f aca="false">PPMT($B$2/12,D39,$B$4,-$B$3)</f>
        <v>8847.08162753822</v>
      </c>
      <c r="F39" s="6" t="n">
        <f aca="false">IPMT($B$2/12,D39,$B$4,-$B$3)</f>
        <v>2275.14221491267</v>
      </c>
    </row>
    <row r="40" customFormat="false" ht="15.75" hidden="false" customHeight="false" outlineLevel="0" collapsed="false">
      <c r="D40" s="5" t="n">
        <v>39</v>
      </c>
      <c r="E40" s="6" t="n">
        <f aca="false">PPMT($B$2/12,D40,$B$4,-$B$3)</f>
        <v>8935.5524438136</v>
      </c>
      <c r="F40" s="6" t="n">
        <f aca="false">IPMT($B$2/12,D40,$B$4,-$B$3)</f>
        <v>2186.67139863729</v>
      </c>
    </row>
    <row r="41" customFormat="false" ht="15.75" hidden="false" customHeight="false" outlineLevel="0" collapsed="false">
      <c r="D41" s="5" t="n">
        <v>40</v>
      </c>
      <c r="E41" s="6" t="n">
        <f aca="false">PPMT($B$2/12,D41,$B$4,-$B$3)</f>
        <v>9024.90796825174</v>
      </c>
      <c r="F41" s="6" t="n">
        <f aca="false">IPMT($B$2/12,D41,$B$4,-$B$3)</f>
        <v>2097.31587419915</v>
      </c>
    </row>
    <row r="42" customFormat="false" ht="15.75" hidden="false" customHeight="false" outlineLevel="0" collapsed="false">
      <c r="D42" s="5" t="n">
        <v>41</v>
      </c>
      <c r="E42" s="6" t="n">
        <f aca="false">PPMT($B$2/12,D42,$B$4,-$B$3)</f>
        <v>9115.15704793426</v>
      </c>
      <c r="F42" s="6" t="n">
        <f aca="false">IPMT($B$2/12,D42,$B$4,-$B$3)</f>
        <v>2007.06679451663</v>
      </c>
    </row>
    <row r="43" customFormat="false" ht="15.75" hidden="false" customHeight="false" outlineLevel="0" collapsed="false">
      <c r="D43" s="5" t="n">
        <v>42</v>
      </c>
      <c r="E43" s="6" t="n">
        <f aca="false">PPMT($B$2/12,D43,$B$4,-$B$3)</f>
        <v>9206.3086184136</v>
      </c>
      <c r="F43" s="6" t="n">
        <f aca="false">IPMT($B$2/12,D43,$B$4,-$B$3)</f>
        <v>1915.91522403729</v>
      </c>
    </row>
    <row r="44" customFormat="false" ht="15.75" hidden="false" customHeight="false" outlineLevel="0" collapsed="false">
      <c r="D44" s="5" t="n">
        <v>43</v>
      </c>
      <c r="E44" s="6" t="n">
        <f aca="false">PPMT($B$2/12,D44,$B$4,-$B$3)</f>
        <v>9298.37170459774</v>
      </c>
      <c r="F44" s="6" t="n">
        <f aca="false">IPMT($B$2/12,D44,$B$4,-$B$3)</f>
        <v>1823.85213785315</v>
      </c>
    </row>
    <row r="45" customFormat="false" ht="15.75" hidden="false" customHeight="false" outlineLevel="0" collapsed="false">
      <c r="D45" s="5" t="n">
        <v>44</v>
      </c>
      <c r="E45" s="6" t="n">
        <f aca="false">PPMT($B$2/12,D45,$B$4,-$B$3)</f>
        <v>9391.35542164371</v>
      </c>
      <c r="F45" s="6" t="n">
        <f aca="false">IPMT($B$2/12,D45,$B$4,-$B$3)</f>
        <v>1730.86842080718</v>
      </c>
    </row>
    <row r="46" customFormat="false" ht="15.75" hidden="false" customHeight="false" outlineLevel="0" collapsed="false">
      <c r="D46" s="5" t="n">
        <v>45</v>
      </c>
      <c r="E46" s="6" t="n">
        <f aca="false">PPMT($B$2/12,D46,$B$4,-$B$3)</f>
        <v>9485.26897586015</v>
      </c>
      <c r="F46" s="6" t="n">
        <f aca="false">IPMT($B$2/12,D46,$B$4,-$B$3)</f>
        <v>1636.95486659074</v>
      </c>
    </row>
    <row r="47" customFormat="false" ht="15.75" hidden="false" customHeight="false" outlineLevel="0" collapsed="false">
      <c r="D47" s="5" t="n">
        <v>46</v>
      </c>
      <c r="E47" s="6" t="n">
        <f aca="false">PPMT($B$2/12,D47,$B$4,-$B$3)</f>
        <v>9580.12166561875</v>
      </c>
      <c r="F47" s="6" t="n">
        <f aca="false">IPMT($B$2/12,D47,$B$4,-$B$3)</f>
        <v>1542.10217683214</v>
      </c>
    </row>
    <row r="48" customFormat="false" ht="15.75" hidden="false" customHeight="false" outlineLevel="0" collapsed="false">
      <c r="D48" s="5" t="n">
        <v>47</v>
      </c>
      <c r="E48" s="6" t="n">
        <f aca="false">PPMT($B$2/12,D48,$B$4,-$B$3)</f>
        <v>9675.92288227494</v>
      </c>
      <c r="F48" s="6" t="n">
        <f aca="false">IPMT($B$2/12,D48,$B$4,-$B$3)</f>
        <v>1446.30096017595</v>
      </c>
    </row>
    <row r="49" customFormat="false" ht="15.75" hidden="false" customHeight="false" outlineLevel="0" collapsed="false">
      <c r="D49" s="5" t="n">
        <v>48</v>
      </c>
      <c r="E49" s="6" t="n">
        <f aca="false">PPMT($B$2/12,D49,$B$4,-$B$3)</f>
        <v>9772.68211109769</v>
      </c>
      <c r="F49" s="6" t="n">
        <f aca="false">IPMT($B$2/12,D49,$B$4,-$B$3)</f>
        <v>1349.5417313532</v>
      </c>
    </row>
    <row r="50" customFormat="false" ht="15.75" hidden="false" customHeight="false" outlineLevel="0" collapsed="false">
      <c r="D50" s="5" t="n">
        <v>49</v>
      </c>
      <c r="E50" s="6" t="n">
        <f aca="false">PPMT($B$2/12,D50,$B$4,-$B$3)</f>
        <v>9870.40893220867</v>
      </c>
      <c r="F50" s="6" t="n">
        <f aca="false">IPMT($B$2/12,D50,$B$4,-$B$3)</f>
        <v>1251.81491024222</v>
      </c>
    </row>
    <row r="51" customFormat="false" ht="15.75" hidden="false" customHeight="false" outlineLevel="0" collapsed="false">
      <c r="D51" s="5" t="n">
        <v>50</v>
      </c>
      <c r="E51" s="6" t="n">
        <f aca="false">PPMT($B$2/12,D51,$B$4,-$B$3)</f>
        <v>9969.11302153075</v>
      </c>
      <c r="F51" s="6" t="n">
        <f aca="false">IPMT($B$2/12,D51,$B$4,-$B$3)</f>
        <v>1153.11082092014</v>
      </c>
    </row>
    <row r="52" customFormat="false" ht="15.75" hidden="false" customHeight="false" outlineLevel="0" collapsed="false">
      <c r="D52" s="5" t="n">
        <v>51</v>
      </c>
      <c r="E52" s="6" t="n">
        <f aca="false">PPMT($B$2/12,D52,$B$4,-$B$3)</f>
        <v>10068.8041517461</v>
      </c>
      <c r="F52" s="6" t="n">
        <f aca="false">IPMT($B$2/12,D52,$B$4,-$B$3)</f>
        <v>1053.41969070483</v>
      </c>
    </row>
    <row r="53" customFormat="false" ht="15.75" hidden="false" customHeight="false" outlineLevel="0" collapsed="false">
      <c r="D53" s="5" t="n">
        <v>52</v>
      </c>
      <c r="E53" s="6" t="n">
        <f aca="false">PPMT($B$2/12,D53,$B$4,-$B$3)</f>
        <v>10169.4921932635</v>
      </c>
      <c r="F53" s="6" t="n">
        <f aca="false">IPMT($B$2/12,D53,$B$4,-$B$3)</f>
        <v>952.731649187367</v>
      </c>
    </row>
    <row r="54" customFormat="false" ht="15.75" hidden="false" customHeight="false" outlineLevel="0" collapsed="false">
      <c r="D54" s="5" t="n">
        <v>53</v>
      </c>
      <c r="E54" s="6" t="n">
        <f aca="false">PPMT($B$2/12,D54,$B$4,-$B$3)</f>
        <v>10271.1871151962</v>
      </c>
      <c r="F54" s="6" t="n">
        <f aca="false">IPMT($B$2/12,D54,$B$4,-$B$3)</f>
        <v>851.036727254733</v>
      </c>
    </row>
    <row r="55" customFormat="false" ht="15.75" hidden="false" customHeight="false" outlineLevel="0" collapsed="false">
      <c r="D55" s="5" t="n">
        <v>54</v>
      </c>
      <c r="E55" s="6" t="n">
        <f aca="false">PPMT($B$2/12,D55,$B$4,-$B$3)</f>
        <v>10373.8989863481</v>
      </c>
      <c r="F55" s="6" t="n">
        <f aca="false">IPMT($B$2/12,D55,$B$4,-$B$3)</f>
        <v>748.324856102771</v>
      </c>
    </row>
    <row r="56" customFormat="false" ht="15.75" hidden="false" customHeight="false" outlineLevel="0" collapsed="false">
      <c r="D56" s="5" t="n">
        <v>55</v>
      </c>
      <c r="E56" s="6" t="n">
        <f aca="false">PPMT($B$2/12,D56,$B$4,-$B$3)</f>
        <v>10477.6379762116</v>
      </c>
      <c r="F56" s="6" t="n">
        <f aca="false">IPMT($B$2/12,D56,$B$4,-$B$3)</f>
        <v>644.585866239289</v>
      </c>
    </row>
    <row r="57" customFormat="false" ht="15.75" hidden="false" customHeight="false" outlineLevel="0" collapsed="false">
      <c r="D57" s="5" t="n">
        <v>56</v>
      </c>
      <c r="E57" s="6" t="n">
        <f aca="false">PPMT($B$2/12,D57,$B$4,-$B$3)</f>
        <v>10582.4143559737</v>
      </c>
      <c r="F57" s="6" t="n">
        <f aca="false">IPMT($B$2/12,D57,$B$4,-$B$3)</f>
        <v>539.809486477173</v>
      </c>
    </row>
    <row r="58" customFormat="false" ht="15.75" hidden="false" customHeight="false" outlineLevel="0" collapsed="false">
      <c r="D58" s="5" t="n">
        <v>57</v>
      </c>
      <c r="E58" s="6" t="n">
        <f aca="false">PPMT($B$2/12,D58,$B$4,-$B$3)</f>
        <v>10688.2384995335</v>
      </c>
      <c r="F58" s="6" t="n">
        <f aca="false">IPMT($B$2/12,D58,$B$4,-$B$3)</f>
        <v>433.985342917436</v>
      </c>
    </row>
    <row r="59" customFormat="false" ht="15.75" hidden="false" customHeight="false" outlineLevel="0" collapsed="false">
      <c r="D59" s="5" t="n">
        <v>58</v>
      </c>
      <c r="E59" s="6" t="n">
        <f aca="false">PPMT($B$2/12,D59,$B$4,-$B$3)</f>
        <v>10795.1208845288</v>
      </c>
      <c r="F59" s="6" t="n">
        <f aca="false">IPMT($B$2/12,D59,$B$4,-$B$3)</f>
        <v>327.102957922102</v>
      </c>
    </row>
    <row r="60" customFormat="false" ht="15.75" hidden="false" customHeight="false" outlineLevel="0" collapsed="false">
      <c r="D60" s="5" t="n">
        <v>59</v>
      </c>
      <c r="E60" s="6" t="n">
        <f aca="false">PPMT($B$2/12,D60,$B$4,-$B$3)</f>
        <v>10903.0720933741</v>
      </c>
      <c r="F60" s="6" t="n">
        <f aca="false">IPMT($B$2/12,D60,$B$4,-$B$3)</f>
        <v>219.151749076812</v>
      </c>
    </row>
    <row r="61" customFormat="false" ht="15.75" hidden="false" customHeight="false" outlineLevel="0" collapsed="false">
      <c r="D61" s="5" t="n">
        <v>60</v>
      </c>
      <c r="E61" s="6" t="n">
        <f aca="false">PPMT($B$2/12,D61,$B$4,-$B$3)</f>
        <v>11012.1028143078</v>
      </c>
      <c r="F61" s="6" t="n">
        <f aca="false">IPMT($B$2/12,D61,$B$4,-$B$3)</f>
        <v>110.121028143073</v>
      </c>
    </row>
    <row r="62" customFormat="false" ht="15.75" hidden="false" customHeight="false" outlineLevel="0" collapsed="false">
      <c r="D62" s="3" t="s">
        <v>10</v>
      </c>
      <c r="E62" s="6" t="n">
        <f aca="false">SUM(E2:E61)</f>
        <v>500000</v>
      </c>
      <c r="F62" s="6" t="n">
        <f aca="false">SUM(F2:F61)</f>
        <v>167333.430547053</v>
      </c>
    </row>
    <row r="63" customFormat="false" ht="15.75" hidden="false" customHeight="false" outlineLevel="0" collapsed="false">
      <c r="F63" s="11"/>
    </row>
    <row r="64" customFormat="false" ht="15.75" hidden="false" customHeight="false" outlineLevel="0" collapsed="false">
      <c r="F64" s="11"/>
    </row>
    <row r="65" customFormat="false" ht="15.75" hidden="false" customHeight="false" outlineLevel="0" collapsed="false">
      <c r="F65" s="11"/>
    </row>
  </sheetData>
  <mergeCells count="1">
    <mergeCell ref="A1:B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2025-12-24T14:33:53Z</dcterms:modified>
  <cp:revision>1</cp:revision>
  <dc:subject/>
  <dc:title/>
</cp:coreProperties>
</file>