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<sst xmlns="http://schemas.openxmlformats.org/spreadsheetml/2006/main" count="11" uniqueCount="11">
  <si>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EMI CALCULATION</t>
  </si>
  <si>
    <t>MONTHS</t>
  </si>
  <si>
    <t>PPMT</t>
  </si>
  <si>
    <t>IPMT</t>
  </si>
  <si>
    <t>RATE</t>
  </si>
  <si>
    <t>LOAN AMOUNT</t>
  </si>
  <si>
    <t>PERIOD (M)</t>
  </si>
  <si>
    <t>PMT/EMI</t>
  </si>
  <si>
    <t>TOTAL PAY</t>
  </si>
  <si>
    <t>INTEREST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</si>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</sst>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5">
    <font>
      <sz val="10.0"/>
      <color rgb="FF000000"/>
      <name val="Arial"/>
      <scheme val="minor"/>
    </font>
    <font>
      <b/>
      <sz val="11.0"/>
      <color rgb="FF000000"/>
      <name val="Aharoni"/>
    </font>
    <font/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2" fontId="3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3" fillId="0" fontId="4" numFmtId="9" xfId="0" applyAlignment="1" applyBorder="1" applyFont="1" applyNumberFormat="1">
      <alignment horizontal="right"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4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3" fillId="0" fontId="4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D1" s="3" t="s">
        <v>1</v>
      </c>
      <c r="E1" s="3" t="s">
        <v>2</v>
      </c>
      <c r="F1" s="3" t="s">
        <v>3</v>
      </c>
    </row>
    <row r="2">
      <c r="A2" s="4" t="s">
        <v>4</v>
      </c>
      <c r="B2" s="5">
        <v>0.12</v>
      </c>
      <c r="D2" s="6">
        <v>1.0</v>
      </c>
      <c r="E2" s="7">
        <f t="shared" ref="E2:E61" si="1">PPMT($B$2/12,D2,$B$4,-$B$3)</f>
        <v>6122.223842</v>
      </c>
      <c r="F2" s="7">
        <f t="shared" ref="F2:F61" si="2">IPMT($B$2/12,D2,$B$4,-$B$3)</f>
        <v>5000</v>
      </c>
    </row>
    <row r="3">
      <c r="A3" s="4" t="s">
        <v>5</v>
      </c>
      <c r="B3" s="6">
        <v>500000.0</v>
      </c>
      <c r="D3" s="6">
        <v>2.0</v>
      </c>
      <c r="E3" s="7">
        <f t="shared" si="1"/>
        <v>6183.446081</v>
      </c>
      <c r="F3" s="7">
        <f t="shared" si="2"/>
        <v>4938.777762</v>
      </c>
    </row>
    <row r="4">
      <c r="A4" s="4" t="s">
        <v>6</v>
      </c>
      <c r="B4" s="6">
        <v>60.0</v>
      </c>
      <c r="D4" s="6">
        <v>3.0</v>
      </c>
      <c r="E4" s="7">
        <f t="shared" si="1"/>
        <v>6245.280542</v>
      </c>
      <c r="F4" s="7">
        <f t="shared" si="2"/>
        <v>4876.943301</v>
      </c>
    </row>
    <row r="5">
      <c r="D5" s="6">
        <v>4.0</v>
      </c>
      <c r="E5" s="7">
        <f t="shared" si="1"/>
        <v>6307.733347</v>
      </c>
      <c r="F5" s="7">
        <f t="shared" si="2"/>
        <v>4814.490495</v>
      </c>
    </row>
    <row r="6">
      <c r="A6" s="8" t="s">
        <v>7</v>
      </c>
      <c r="B6" s="9">
        <f>PMT(B2/12,B4,-B3)</f>
        <v>11122.22384</v>
      </c>
      <c r="D6" s="6">
        <v>5.0</v>
      </c>
      <c r="E6" s="7">
        <f t="shared" si="1"/>
        <v>6370.810681</v>
      </c>
      <c r="F6" s="7">
        <f t="shared" si="2"/>
        <v>4751.413162</v>
      </c>
    </row>
    <row r="7">
      <c r="A7" s="10"/>
      <c r="B7" s="10"/>
      <c r="D7" s="6">
        <v>6.0</v>
      </c>
      <c r="E7" s="7">
        <f t="shared" si="1"/>
        <v>6434.518787</v>
      </c>
      <c r="F7" s="7">
        <f t="shared" si="2"/>
        <v>4687.705055</v>
      </c>
    </row>
    <row r="8">
      <c r="A8" s="11" t="s">
        <v>8</v>
      </c>
      <c r="B8" s="12">
        <f>B6*B4</f>
        <v>667333.4305</v>
      </c>
      <c r="D8" s="6">
        <v>7.0</v>
      </c>
      <c r="E8" s="7">
        <f t="shared" si="1"/>
        <v>6498.863975</v>
      </c>
      <c r="F8" s="7">
        <f t="shared" si="2"/>
        <v>4623.359867</v>
      </c>
    </row>
    <row r="9">
      <c r="A9" s="10"/>
      <c r="B9" s="10"/>
      <c r="D9" s="6">
        <v>8.0</v>
      </c>
      <c r="E9" s="7">
        <f t="shared" si="1"/>
        <v>6563.852615</v>
      </c>
      <c r="F9" s="7">
        <f t="shared" si="2"/>
        <v>4558.371227</v>
      </c>
    </row>
    <row r="10">
      <c r="A10" s="11" t="s">
        <v>9</v>
      </c>
      <c r="B10" s="12">
        <f>B8-B3</f>
        <v>167333.4305</v>
      </c>
      <c r="D10" s="6">
        <v>9.0</v>
      </c>
      <c r="E10" s="7">
        <f t="shared" si="1"/>
        <v>6629.491141</v>
      </c>
      <c r="F10" s="7">
        <f t="shared" si="2"/>
        <v>4492.732701</v>
      </c>
    </row>
    <row r="11">
      <c r="D11" s="6">
        <v>10.0</v>
      </c>
      <c r="E11" s="7">
        <f t="shared" si="1"/>
        <v>6695.786053</v>
      </c>
      <c r="F11" s="7">
        <f t="shared" si="2"/>
        <v>4426.43779</v>
      </c>
    </row>
    <row r="12">
      <c r="D12" s="6">
        <v>11.0</v>
      </c>
      <c r="E12" s="7">
        <f t="shared" si="1"/>
        <v>6762.743913</v>
      </c>
      <c r="F12" s="7">
        <f t="shared" si="2"/>
        <v>4359.479929</v>
      </c>
    </row>
    <row r="13">
      <c r="D13" s="6">
        <v>12.0</v>
      </c>
      <c r="E13" s="7">
        <f t="shared" si="1"/>
        <v>6830.371352</v>
      </c>
      <c r="F13" s="7">
        <f t="shared" si="2"/>
        <v>4291.85249</v>
      </c>
    </row>
    <row r="14">
      <c r="D14" s="6">
        <v>13.0</v>
      </c>
      <c r="E14" s="7">
        <f t="shared" si="1"/>
        <v>6898.675066</v>
      </c>
      <c r="F14" s="7">
        <f t="shared" si="2"/>
        <v>4223.548777</v>
      </c>
    </row>
    <row r="15">
      <c r="D15" s="6">
        <v>14.0</v>
      </c>
      <c r="E15" s="7">
        <f t="shared" si="1"/>
        <v>6967.661816</v>
      </c>
      <c r="F15" s="7">
        <f t="shared" si="2"/>
        <v>4154.562026</v>
      </c>
    </row>
    <row r="16">
      <c r="D16" s="6">
        <v>15.0</v>
      </c>
      <c r="E16" s="7">
        <f t="shared" si="1"/>
        <v>7037.338435</v>
      </c>
      <c r="F16" s="7">
        <f t="shared" si="2"/>
        <v>4084.885408</v>
      </c>
    </row>
    <row r="17">
      <c r="D17" s="6">
        <v>16.0</v>
      </c>
      <c r="E17" s="7">
        <f t="shared" si="1"/>
        <v>7107.711819</v>
      </c>
      <c r="F17" s="7">
        <f t="shared" si="2"/>
        <v>4014.512024</v>
      </c>
    </row>
    <row r="18">
      <c r="D18" s="6">
        <v>17.0</v>
      </c>
      <c r="E18" s="7">
        <f t="shared" si="1"/>
        <v>7178.788937</v>
      </c>
      <c r="F18" s="7">
        <f t="shared" si="2"/>
        <v>3943.434905</v>
      </c>
    </row>
    <row r="19">
      <c r="D19" s="6">
        <v>18.0</v>
      </c>
      <c r="E19" s="7">
        <f t="shared" si="1"/>
        <v>7250.576826</v>
      </c>
      <c r="F19" s="7">
        <f t="shared" si="2"/>
        <v>3871.647016</v>
      </c>
    </row>
    <row r="20">
      <c r="D20" s="6">
        <v>19.0</v>
      </c>
      <c r="E20" s="7">
        <f t="shared" si="1"/>
        <v>7323.082595</v>
      </c>
      <c r="F20" s="7">
        <f t="shared" si="2"/>
        <v>3799.141248</v>
      </c>
    </row>
    <row r="21">
      <c r="D21" s="6">
        <v>20.0</v>
      </c>
      <c r="E21" s="7">
        <f t="shared" si="1"/>
        <v>7396.313421</v>
      </c>
      <c r="F21" s="7">
        <f t="shared" si="2"/>
        <v>3725.910422</v>
      </c>
    </row>
    <row r="22">
      <c r="D22" s="6">
        <v>21.0</v>
      </c>
      <c r="E22" s="7">
        <f t="shared" si="1"/>
        <v>7470.276555</v>
      </c>
      <c r="F22" s="7">
        <f t="shared" si="2"/>
        <v>3651.947288</v>
      </c>
    </row>
    <row r="23">
      <c r="D23" s="6">
        <v>22.0</v>
      </c>
      <c r="E23" s="7">
        <f t="shared" si="1"/>
        <v>7544.97932</v>
      </c>
      <c r="F23" s="7">
        <f t="shared" si="2"/>
        <v>3577.244522</v>
      </c>
    </row>
    <row r="24">
      <c r="D24" s="6">
        <v>23.0</v>
      </c>
      <c r="E24" s="7">
        <f t="shared" si="1"/>
        <v>7620.429114</v>
      </c>
      <c r="F24" s="7">
        <f t="shared" si="2"/>
        <v>3501.794729</v>
      </c>
    </row>
    <row r="25">
      <c r="D25" s="6">
        <v>24.0</v>
      </c>
      <c r="E25" s="7">
        <f t="shared" si="1"/>
        <v>7696.633405</v>
      </c>
      <c r="F25" s="7">
        <f t="shared" si="2"/>
        <v>3425.590438</v>
      </c>
    </row>
    <row r="26">
      <c r="D26" s="6">
        <v>25.0</v>
      </c>
      <c r="E26" s="7">
        <f t="shared" si="1"/>
        <v>7773.599739</v>
      </c>
      <c r="F26" s="7">
        <f t="shared" si="2"/>
        <v>3348.624104</v>
      </c>
    </row>
    <row r="27">
      <c r="D27" s="6">
        <v>26.0</v>
      </c>
      <c r="E27" s="7">
        <f t="shared" si="1"/>
        <v>7851.335736</v>
      </c>
      <c r="F27" s="7">
        <f t="shared" si="2"/>
        <v>3270.888106</v>
      </c>
    </row>
    <row r="28">
      <c r="D28" s="6">
        <v>27.0</v>
      </c>
      <c r="E28" s="7">
        <f t="shared" si="1"/>
        <v>7929.849094</v>
      </c>
      <c r="F28" s="7">
        <f t="shared" si="2"/>
        <v>3192.374749</v>
      </c>
    </row>
    <row r="29">
      <c r="D29" s="6">
        <v>28.0</v>
      </c>
      <c r="E29" s="7">
        <f t="shared" si="1"/>
        <v>8009.147585</v>
      </c>
      <c r="F29" s="7">
        <f t="shared" si="2"/>
        <v>3113.076258</v>
      </c>
    </row>
    <row r="30">
      <c r="D30" s="6">
        <v>29.0</v>
      </c>
      <c r="E30" s="7">
        <f t="shared" si="1"/>
        <v>8089.23906</v>
      </c>
      <c r="F30" s="7">
        <f t="shared" si="2"/>
        <v>3032.984782</v>
      </c>
    </row>
    <row r="31">
      <c r="D31" s="6">
        <v>30.0</v>
      </c>
      <c r="E31" s="7">
        <f t="shared" si="1"/>
        <v>8170.131451</v>
      </c>
      <c r="F31" s="7">
        <f t="shared" si="2"/>
        <v>2952.092391</v>
      </c>
    </row>
    <row r="32">
      <c r="D32" s="6">
        <v>31.0</v>
      </c>
      <c r="E32" s="7">
        <f t="shared" si="1"/>
        <v>8251.832765</v>
      </c>
      <c r="F32" s="7">
        <f t="shared" si="2"/>
        <v>2870.391077</v>
      </c>
    </row>
    <row r="33">
      <c r="D33" s="6">
        <v>32.0</v>
      </c>
      <c r="E33" s="7">
        <f t="shared" si="1"/>
        <v>8334.351093</v>
      </c>
      <c r="F33" s="7">
        <f t="shared" si="2"/>
        <v>2787.872749</v>
      </c>
    </row>
    <row r="34">
      <c r="D34" s="6">
        <v>33.0</v>
      </c>
      <c r="E34" s="7">
        <f t="shared" si="1"/>
        <v>8417.694604</v>
      </c>
      <c r="F34" s="7">
        <f t="shared" si="2"/>
        <v>2704.529238</v>
      </c>
    </row>
    <row r="35">
      <c r="D35" s="6">
        <v>34.0</v>
      </c>
      <c r="E35" s="7">
        <f t="shared" si="1"/>
        <v>8501.87155</v>
      </c>
      <c r="F35" s="7">
        <f t="shared" si="2"/>
        <v>2620.352292</v>
      </c>
    </row>
    <row r="36">
      <c r="D36" s="6">
        <v>35.0</v>
      </c>
      <c r="E36" s="7">
        <f t="shared" si="1"/>
        <v>8586.890266</v>
      </c>
      <c r="F36" s="7">
        <f t="shared" si="2"/>
        <v>2535.333577</v>
      </c>
    </row>
    <row r="37">
      <c r="D37" s="6">
        <v>36.0</v>
      </c>
      <c r="E37" s="7">
        <f t="shared" si="1"/>
        <v>8672.759168</v>
      </c>
      <c r="F37" s="7">
        <f t="shared" si="2"/>
        <v>2449.464674</v>
      </c>
    </row>
    <row r="38">
      <c r="D38" s="6">
        <v>37.0</v>
      </c>
      <c r="E38" s="7">
        <f t="shared" si="1"/>
        <v>8759.48676</v>
      </c>
      <c r="F38" s="7">
        <f t="shared" si="2"/>
        <v>2362.737083</v>
      </c>
    </row>
    <row r="39">
      <c r="D39" s="6">
        <v>38.0</v>
      </c>
      <c r="E39" s="7">
        <f t="shared" si="1"/>
        <v>8847.081628</v>
      </c>
      <c r="F39" s="7">
        <f t="shared" si="2"/>
        <v>2275.142215</v>
      </c>
    </row>
    <row r="40">
      <c r="D40" s="6">
        <v>39.0</v>
      </c>
      <c r="E40" s="7">
        <f t="shared" si="1"/>
        <v>8935.552444</v>
      </c>
      <c r="F40" s="7">
        <f t="shared" si="2"/>
        <v>2186.671399</v>
      </c>
    </row>
    <row r="41">
      <c r="D41" s="6">
        <v>40.0</v>
      </c>
      <c r="E41" s="7">
        <f t="shared" si="1"/>
        <v>9024.907968</v>
      </c>
      <c r="F41" s="7">
        <f t="shared" si="2"/>
        <v>2097.315874</v>
      </c>
    </row>
    <row r="42">
      <c r="D42" s="6">
        <v>41.0</v>
      </c>
      <c r="E42" s="7">
        <f t="shared" si="1"/>
        <v>9115.157048</v>
      </c>
      <c r="F42" s="7">
        <f t="shared" si="2"/>
        <v>2007.066795</v>
      </c>
    </row>
    <row r="43">
      <c r="D43" s="6">
        <v>42.0</v>
      </c>
      <c r="E43" s="7">
        <f t="shared" si="1"/>
        <v>9206.308618</v>
      </c>
      <c r="F43" s="7">
        <f t="shared" si="2"/>
        <v>1915.915224</v>
      </c>
    </row>
    <row r="44">
      <c r="D44" s="6">
        <v>43.0</v>
      </c>
      <c r="E44" s="7">
        <f t="shared" si="1"/>
        <v>9298.371705</v>
      </c>
      <c r="F44" s="7">
        <f t="shared" si="2"/>
        <v>1823.852138</v>
      </c>
    </row>
    <row r="45">
      <c r="D45" s="6">
        <v>44.0</v>
      </c>
      <c r="E45" s="7">
        <f t="shared" si="1"/>
        <v>9391.355422</v>
      </c>
      <c r="F45" s="7">
        <f t="shared" si="2"/>
        <v>1730.868421</v>
      </c>
    </row>
    <row r="46">
      <c r="D46" s="6">
        <v>45.0</v>
      </c>
      <c r="E46" s="7">
        <f t="shared" si="1"/>
        <v>9485.268976</v>
      </c>
      <c r="F46" s="7">
        <f t="shared" si="2"/>
        <v>1636.954867</v>
      </c>
    </row>
    <row r="47">
      <c r="D47" s="6">
        <v>46.0</v>
      </c>
      <c r="E47" s="7">
        <f t="shared" si="1"/>
        <v>9580.121666</v>
      </c>
      <c r="F47" s="7">
        <f t="shared" si="2"/>
        <v>1542.102177</v>
      </c>
    </row>
    <row r="48">
      <c r="D48" s="6">
        <v>47.0</v>
      </c>
      <c r="E48" s="7">
        <f t="shared" si="1"/>
        <v>9675.922882</v>
      </c>
      <c r="F48" s="7">
        <f t="shared" si="2"/>
        <v>1446.30096</v>
      </c>
    </row>
    <row r="49">
      <c r="D49" s="6">
        <v>48.0</v>
      </c>
      <c r="E49" s="7">
        <f t="shared" si="1"/>
        <v>9772.682111</v>
      </c>
      <c r="F49" s="7">
        <f t="shared" si="2"/>
        <v>1349.541731</v>
      </c>
    </row>
    <row r="50">
      <c r="D50" s="6">
        <v>49.0</v>
      </c>
      <c r="E50" s="7">
        <f t="shared" si="1"/>
        <v>9870.408932</v>
      </c>
      <c r="F50" s="7">
        <f t="shared" si="2"/>
        <v>1251.81491</v>
      </c>
    </row>
    <row r="51">
      <c r="D51" s="6">
        <v>50.0</v>
      </c>
      <c r="E51" s="7">
        <f t="shared" si="1"/>
        <v>9969.113022</v>
      </c>
      <c r="F51" s="7">
        <f t="shared" si="2"/>
        <v>1153.110821</v>
      </c>
    </row>
    <row r="52">
      <c r="D52" s="6">
        <v>51.0</v>
      </c>
      <c r="E52" s="7">
        <f t="shared" si="1"/>
        <v>10068.80415</v>
      </c>
      <c r="F52" s="7">
        <f t="shared" si="2"/>
        <v>1053.419691</v>
      </c>
    </row>
    <row r="53">
      <c r="D53" s="6">
        <v>52.0</v>
      </c>
      <c r="E53" s="7">
        <f t="shared" si="1"/>
        <v>10169.49219</v>
      </c>
      <c r="F53" s="7">
        <f t="shared" si="2"/>
        <v>952.7316492</v>
      </c>
    </row>
    <row r="54">
      <c r="D54" s="6">
        <v>53.0</v>
      </c>
      <c r="E54" s="7">
        <f t="shared" si="1"/>
        <v>10271.18712</v>
      </c>
      <c r="F54" s="7">
        <f t="shared" si="2"/>
        <v>851.0367273</v>
      </c>
    </row>
    <row r="55">
      <c r="D55" s="6">
        <v>54.0</v>
      </c>
      <c r="E55" s="7">
        <f t="shared" si="1"/>
        <v>10373.89899</v>
      </c>
      <c r="F55" s="7">
        <f t="shared" si="2"/>
        <v>748.3248561</v>
      </c>
    </row>
    <row r="56">
      <c r="D56" s="6">
        <v>55.0</v>
      </c>
      <c r="E56" s="7">
        <f t="shared" si="1"/>
        <v>10477.63798</v>
      </c>
      <c r="F56" s="7">
        <f t="shared" si="2"/>
        <v>644.5858662</v>
      </c>
    </row>
    <row r="57">
      <c r="D57" s="6">
        <v>56.0</v>
      </c>
      <c r="E57" s="7">
        <f t="shared" si="1"/>
        <v>10582.41436</v>
      </c>
      <c r="F57" s="7">
        <f t="shared" si="2"/>
        <v>539.8094865</v>
      </c>
    </row>
    <row r="58">
      <c r="D58" s="6">
        <v>57.0</v>
      </c>
      <c r="E58" s="7">
        <f t="shared" si="1"/>
        <v>10688.2385</v>
      </c>
      <c r="F58" s="7">
        <f t="shared" si="2"/>
        <v>433.9853429</v>
      </c>
    </row>
    <row r="59">
      <c r="D59" s="6">
        <v>58.0</v>
      </c>
      <c r="E59" s="7">
        <f t="shared" si="1"/>
        <v>10795.12088</v>
      </c>
      <c r="F59" s="7">
        <f t="shared" si="2"/>
        <v>327.1029579</v>
      </c>
    </row>
    <row r="60">
      <c r="D60" s="6">
        <v>59.0</v>
      </c>
      <c r="E60" s="7">
        <f t="shared" si="1"/>
        <v>10903.07209</v>
      </c>
      <c r="F60" s="7">
        <f t="shared" si="2"/>
        <v>219.1517491</v>
      </c>
    </row>
    <row r="61">
      <c r="D61" s="6">
        <v>60.0</v>
      </c>
      <c r="E61" s="7">
        <f t="shared" si="1"/>
        <v>11012.10281</v>
      </c>
      <c r="F61" s="7">
        <f t="shared" si="2"/>
        <v>110.1210281</v>
      </c>
    </row>
    <row r="62">
      <c r="D62" s="4" t="s">
        <v>10</v>
      </c>
      <c r="E62" s="7">
        <f t="shared" ref="E62:F62" si="3">SUM(E2:E61)</f>
        <v>500000</v>
      </c>
      <c r="F62" s="7">
        <f t="shared" si="3"/>
        <v>167333.4305</v>
      </c>
    </row>
    <row r="63">
      <c r="F63" s="13"/>
    </row>
    <row r="64">
      <c r="F64" s="13"/>
    </row>
    <row r="65">
      <c r="F65" s="13"/>
    </row>
  </sheetData>
  <mergeCells count="1">
    <mergeCell ref="A1:B1"/>
  </mergeCells>
  <drawing r:id="rId1"/>
</worksheet>
</file>